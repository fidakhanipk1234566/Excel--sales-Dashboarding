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https://d.docs.live.net/aae9d54b34d9991b/Desktop/data_Analyst_Projects/1_Excel/projects/"/>
    </mc:Choice>
  </mc:AlternateContent>
  <xr:revisionPtr revIDLastSave="3" documentId="8_{1543FE59-1A84-4D29-8F37-E545587A04E6}" xr6:coauthVersionLast="47" xr6:coauthVersionMax="47" xr10:uidLastSave="{22FEA785-6CB3-481C-8288-08202BEAFB5E}"/>
  <bookViews>
    <workbookView xWindow="540" yWindow="525" windowWidth="14640" windowHeight="11265" xr2:uid="{00000000-000D-0000-FFFF-FFFF00000000}"/>
  </bookViews>
  <sheets>
    <sheet name="Dashbaording" sheetId="4" r:id="rId1"/>
    <sheet name="Sheet5" sheetId="6" r:id="rId2"/>
    <sheet name="Sheet6" sheetId="7" r:id="rId3"/>
    <sheet name="Raw_data_Sheet" sheetId="1" r:id="rId4"/>
  </sheets>
  <definedNames>
    <definedName name="Slicer_Category">#N/A</definedName>
    <definedName name="Slicer_City1">#N/A</definedName>
    <definedName name="Slicer_Customer">#N/A</definedName>
    <definedName name="Slicer_Months__Date">#N/A</definedName>
    <definedName name="Slicer_Sales">#N/A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 i="4" l="1"/>
</calcChain>
</file>

<file path=xl/sharedStrings.xml><?xml version="1.0" encoding="utf-8"?>
<sst xmlns="http://schemas.openxmlformats.org/spreadsheetml/2006/main" count="67" uniqueCount="26">
  <si>
    <t>Date</t>
  </si>
  <si>
    <t>Customer</t>
  </si>
  <si>
    <t>City</t>
  </si>
  <si>
    <t>Category</t>
  </si>
  <si>
    <t>Sales</t>
  </si>
  <si>
    <t>Ali</t>
  </si>
  <si>
    <t>Karachi</t>
  </si>
  <si>
    <t>Electronics</t>
  </si>
  <si>
    <t>Ayesha</t>
  </si>
  <si>
    <t>Lahore</t>
  </si>
  <si>
    <t>Accessories</t>
  </si>
  <si>
    <t>Fida</t>
  </si>
  <si>
    <t>Hamza</t>
  </si>
  <si>
    <t>Sara</t>
  </si>
  <si>
    <t>Sum of Sales</t>
  </si>
  <si>
    <t>Row Labels</t>
  </si>
  <si>
    <t>Grand Total</t>
  </si>
  <si>
    <t>My_first_Dashboard_In_Excel</t>
  </si>
  <si>
    <t xml:space="preserve">total sales </t>
  </si>
  <si>
    <t>karachi total saes?</t>
  </si>
  <si>
    <t>lahore total sales?</t>
  </si>
  <si>
    <t>tatal customers sales</t>
  </si>
  <si>
    <t>Category zyada konsa hai?</t>
  </si>
  <si>
    <t>City Sales</t>
  </si>
  <si>
    <t>Monthly Sale trend</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</si>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</sst>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6100"/>
      <name val="Calibri"/>
      <family val="2"/>
      <scheme val="minor"/>
    </font>
    <font>
      <b/>
      <sz val="11"/>
      <color theme="1"/>
      <name val="Calibri"/>
      <family val="2"/>
      <scheme val="minor"/>
    </font>
    <font>
      <b/>
      <sz val="15"/>
      <color rgb="FF006100"/>
      <name val="Calibri"/>
      <family val="2"/>
      <scheme val="minor"/>
    </font>
    <font>
      <b/>
      <sz val="20"/>
      <color theme="1"/>
      <name val="Calibri"/>
      <family val="2"/>
      <scheme val="minor"/>
    </font>
    <font>
      <b/>
      <sz val="12"/>
      <color rgb="FFFF0000"/>
      <name val="Calibri"/>
      <family val="2"/>
      <scheme val="minor"/>
    </font>
  </fonts>
  <fills count="7">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1" tint="0.34998626667073579"/>
        <bgColor indexed="64"/>
      </patternFill>
    </fill>
    <fill>
      <patternFill patternType="solid">
        <fgColor theme="3" tint="0.39997558519241921"/>
        <bgColor indexed="64"/>
      </patternFill>
    </fill>
    <fill>
      <patternFill patternType="solid">
        <fgColor theme="5"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2" borderId="0" applyNumberFormat="0" applyBorder="0" applyAlignment="0" applyProtection="0"/>
  </cellStyleXfs>
  <cellXfs count="33">
    <xf numFmtId="0" fontId="0" fillId="0" borderId="0" xfId="0"/>
    <xf numFmtId="14" fontId="0" fillId="4" borderId="1" xfId="0" applyNumberFormat="1" applyFill="1" applyBorder="1"/>
    <xf numFmtId="0" fontId="0" fillId="4" borderId="1" xfId="0" applyFill="1" applyBorder="1"/>
    <xf numFmtId="0" fontId="3" fillId="2" borderId="1" xfId="1" applyFont="1" applyBorder="1" applyAlignment="1">
      <alignment horizontal="center" vertical="center"/>
    </xf>
    <xf numFmtId="0" fontId="0" fillId="0" borderId="0" xfId="0" pivotButton="1"/>
    <xf numFmtId="0" fontId="0" fillId="0" borderId="0" xfId="0" applyAlignment="1">
      <alignment horizontal="left"/>
    </xf>
    <xf numFmtId="0" fontId="2" fillId="0" borderId="0" xfId="0" applyFont="1"/>
    <xf numFmtId="0" fontId="5" fillId="3" borderId="1" xfId="0" applyFont="1" applyFill="1" applyBorder="1"/>
    <xf numFmtId="0" fontId="0" fillId="0" borderId="1" xfId="0" pivotButton="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5" borderId="11" xfId="0" applyFill="1" applyBorder="1"/>
    <xf numFmtId="0" fontId="0" fillId="5" borderId="0" xfId="0" applyFill="1"/>
    <xf numFmtId="0" fontId="0" fillId="5" borderId="12" xfId="0" applyFill="1" applyBorder="1"/>
    <xf numFmtId="0" fontId="0" fillId="5" borderId="5" xfId="0" applyFill="1" applyBorder="1"/>
    <xf numFmtId="0" fontId="0" fillId="5" borderId="7" xfId="0" applyFill="1" applyBorder="1"/>
    <xf numFmtId="0" fontId="0" fillId="5" borderId="8" xfId="0" applyFill="1" applyBorder="1"/>
    <xf numFmtId="0" fontId="0" fillId="5" borderId="10" xfId="0" applyFill="1" applyBorder="1"/>
    <xf numFmtId="0" fontId="0" fillId="5" borderId="9" xfId="0" applyFill="1" applyBorder="1"/>
    <xf numFmtId="0" fontId="4" fillId="6" borderId="1"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0" xfId="0" applyFont="1" applyFill="1" applyAlignment="1">
      <alignment horizontal="center"/>
    </xf>
    <xf numFmtId="0" fontId="2" fillId="3" borderId="0" xfId="0" applyFont="1" applyFill="1" applyAlignment="1">
      <alignment horizontal="center" vertical="center"/>
    </xf>
    <xf numFmtId="0" fontId="0" fillId="0" borderId="0" xfId="0" applyNumberFormat="1"/>
    <xf numFmtId="0" fontId="0" fillId="0" borderId="1" xfId="0" applyNumberFormat="1" applyBorder="1" applyAlignment="1">
      <alignment horizontal="center"/>
    </xf>
  </cellXfs>
  <cellStyles count="2">
    <cellStyle name="Good" xfId="1" builtinId="26"/>
    <cellStyle name="Normal" xfId="0" builtinId="0"/>
  </cellStyles>
  <dxfs count="3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[Projects^N1 Sales dashboard.xlsx]Sheet5!PivotTable13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Sale_By_Category</a:t>
            </a:r>
          </a:p>
        </c:rich>
      </c:tx>
      <c:layout>
        <c:manualLayout>
          <c:xMode val="edge"/>
          <c:yMode val="edge"/>
          <c:x val="0.30863247863247861"/>
          <c:y val="9.65003028467595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671041119860023"/>
          <c:y val="0.26470987280436103"/>
          <c:w val="0.58918702469883577"/>
          <c:h val="0.64196567736725219"/>
        </c:manualLayout>
      </c:layout>
      <c:bar3DChart>
        <c:barDir val="bar"/>
        <c:grouping val="clustered"/>
        <c:varyColors val="0"/>
        <c:ser>
          <c:idx val="0"/>
          <c:order val="0"/>
          <c:tx>
            <c:strRef>
              <c:f>Sheet5!$G$21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Sheet5!$F$22:$F$24</c:f>
              <c:strCache>
                <c:ptCount val="2"/>
                <c:pt idx="0">
                  <c:v>Electronics</c:v>
                </c:pt>
                <c:pt idx="1">
                  <c:v>Accessories</c:v>
                </c:pt>
              </c:strCache>
            </c:strRef>
          </c:cat>
          <c:val>
            <c:numRef>
              <c:f>Sheet5!$G$22:$G$24</c:f>
              <c:numCache>
                <c:formatCode>General</c:formatCode>
                <c:ptCount val="2"/>
                <c:pt idx="0">
                  <c:v>155000</c:v>
                </c:pt>
                <c:pt idx="1">
                  <c:v>23000</c:v>
                </c:pt>
              </c:numCache>
            </c:numRef>
          </c:val>
          <c:extLst>
            <c:ext xmlns:c16="http://schemas.microsoft.com/office/drawing/2014/chart" uri="{C3380CC4-5D6E-409C-BE32-E72D297353CC}">
              <c16:uniqueId val="{00000000-5A9E-4E15-A6F6-0D8EBCD775D9}"/>
            </c:ext>
          </c:extLst>
        </c:ser>
        <c:dLbls>
          <c:showLegendKey val="0"/>
          <c:showVal val="1"/>
          <c:showCatName val="0"/>
          <c:showSerName val="0"/>
          <c:showPercent val="0"/>
          <c:showBubbleSize val="0"/>
        </c:dLbls>
        <c:gapWidth val="150"/>
        <c:shape val="box"/>
        <c:axId val="2094266912"/>
        <c:axId val="2107641600"/>
        <c:axId val="0"/>
      </c:bar3DChart>
      <c:catAx>
        <c:axId val="2094266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7641600"/>
        <c:crosses val="autoZero"/>
        <c:auto val="1"/>
        <c:lblAlgn val="ctr"/>
        <c:lblOffset val="100"/>
        <c:noMultiLvlLbl val="0"/>
      </c:catAx>
      <c:valAx>
        <c:axId val="21076416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426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[Projects^N1 Sales dashboard.xlsx]Sheet5!PivotTable15</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Sales_By_City</a:t>
            </a:r>
          </a:p>
        </c:rich>
      </c:tx>
      <c:layout>
        <c:manualLayout>
          <c:xMode val="edge"/>
          <c:yMode val="edge"/>
          <c:x val="0.42716049382716048"/>
          <c:y val="7.6183131747706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8494786362423"/>
          <c:y val="0.21182522932056175"/>
          <c:w val="0.69323191082596169"/>
          <c:h val="0.55391306112509131"/>
        </c:manualLayout>
      </c:layout>
      <c:barChart>
        <c:barDir val="col"/>
        <c:grouping val="clustered"/>
        <c:varyColors val="0"/>
        <c:ser>
          <c:idx val="0"/>
          <c:order val="0"/>
          <c:tx>
            <c:strRef>
              <c:f>Sheet5!$N$14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Sheet5!$M$15:$M$17</c:f>
              <c:strCache>
                <c:ptCount val="2"/>
                <c:pt idx="0">
                  <c:v>Karachi</c:v>
                </c:pt>
                <c:pt idx="1">
                  <c:v>Lahore</c:v>
                </c:pt>
              </c:strCache>
            </c:strRef>
          </c:cat>
          <c:val>
            <c:numRef>
              <c:f>Sheet5!$N$15:$N$17</c:f>
              <c:numCache>
                <c:formatCode>General</c:formatCode>
                <c:ptCount val="2"/>
                <c:pt idx="0">
                  <c:v>133000</c:v>
                </c:pt>
                <c:pt idx="1">
                  <c:v>45000</c:v>
                </c:pt>
              </c:numCache>
            </c:numRef>
          </c:val>
          <c:extLst>
            <c:ext xmlns:c16="http://schemas.microsoft.com/office/drawing/2014/chart" uri="{C3380CC4-5D6E-409C-BE32-E72D297353CC}">
              <c16:uniqueId val="{00000000-D982-400D-B9A7-3EA521C41162}"/>
            </c:ext>
          </c:extLst>
        </c:ser>
        <c:dLbls>
          <c:dLblPos val="outEnd"/>
          <c:showLegendKey val="0"/>
          <c:showVal val="1"/>
          <c:showCatName val="0"/>
          <c:showSerName val="0"/>
          <c:showPercent val="0"/>
          <c:showBubbleSize val="0"/>
        </c:dLbls>
        <c:gapWidth val="315"/>
        <c:overlap val="-40"/>
        <c:axId val="1850758463"/>
        <c:axId val="1850755583"/>
      </c:barChart>
      <c:catAx>
        <c:axId val="18507584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0755583"/>
        <c:crosses val="autoZero"/>
        <c:auto val="1"/>
        <c:lblAlgn val="ctr"/>
        <c:lblOffset val="100"/>
        <c:noMultiLvlLbl val="0"/>
      </c:catAx>
      <c:valAx>
        <c:axId val="1850755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075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[Projects^N1 Sales dashboard.xlsx]Sheet5!PivotTable1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Monthly_Sales_Trend</a:t>
            </a:r>
          </a:p>
        </c:rich>
      </c:tx>
      <c:layout>
        <c:manualLayout>
          <c:xMode val="edge"/>
          <c:yMode val="edge"/>
          <c:x val="0.32640211640211636"/>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955380577427822E-2"/>
          <c:y val="0.27254410906969961"/>
          <c:w val="0.87129858767654045"/>
          <c:h val="0.53774387576552929"/>
        </c:manualLayout>
      </c:layout>
      <c:line3DChart>
        <c:grouping val="standard"/>
        <c:varyColors val="0"/>
        <c:ser>
          <c:idx val="0"/>
          <c:order val="0"/>
          <c:tx>
            <c:strRef>
              <c:f>Sheet5!$K$21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Sheet5!$J$22:$J$23</c:f>
              <c:strCache>
                <c:ptCount val="1"/>
                <c:pt idx="0">
                  <c:v>3/1/2024</c:v>
                </c:pt>
              </c:strCache>
            </c:strRef>
          </c:cat>
          <c:val>
            <c:numRef>
              <c:f>Sheet5!$K$22:$K$23</c:f>
              <c:numCache>
                <c:formatCode>General</c:formatCode>
                <c:ptCount val="1"/>
                <c:pt idx="0">
                  <c:v>15000</c:v>
                </c:pt>
              </c:numCache>
            </c:numRef>
          </c:val>
          <c:smooth val="0"/>
          <c:extLst>
            <c:ext xmlns:c16="http://schemas.microsoft.com/office/drawing/2014/chart" uri="{C3380CC4-5D6E-409C-BE32-E72D297353CC}">
              <c16:uniqueId val="{00000002-644C-4AFB-AE7C-6FB5838D6894}"/>
            </c:ext>
          </c:extLst>
        </c:ser>
        <c:dLbls>
          <c:showLegendKey val="0"/>
          <c:showVal val="1"/>
          <c:showCatName val="0"/>
          <c:showSerName val="0"/>
          <c:showPercent val="0"/>
          <c:showBubbleSize val="0"/>
        </c:dLbls>
        <c:dropLines>
          <c:spPr>
            <a:ln w="9525">
              <a:solidFill>
                <a:schemeClr val="lt1">
                  <a:lumMod val="95000"/>
                  <a:alpha val="54000"/>
                </a:schemeClr>
              </a:solidFill>
              <a:prstDash val="dash"/>
            </a:ln>
            <a:effectLst/>
          </c:spPr>
        </c:dropLines>
        <c:axId val="35351024"/>
        <c:axId val="35334224"/>
        <c:axId val="88512640"/>
      </c:line3DChart>
      <c:catAx>
        <c:axId val="3535102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34224"/>
        <c:crosses val="autoZero"/>
        <c:auto val="0"/>
        <c:lblAlgn val="ctr"/>
        <c:lblOffset val="1"/>
        <c:noMultiLvlLbl val="0"/>
      </c:catAx>
      <c:valAx>
        <c:axId val="353342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51024"/>
        <c:crosses val="autoZero"/>
        <c:crossBetween val="between"/>
      </c:valAx>
      <c:serAx>
        <c:axId val="8851264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34224"/>
        <c:crosses val="autoZero"/>
      </c:serAx>
      <c:spPr>
        <a:noFill/>
        <a:ln>
          <a:noFill/>
        </a:ln>
        <a:effectLst/>
      </c:spPr>
    </c:plotArea>
    <c:plotVisOnly val="1"/>
    <c:dispBlanksAs val="zero"/>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[Projects^N1 Sales dashboard.xlsx]Sheet5!PivotTable10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Karachi</a:t>
            </a:r>
          </a:p>
        </c:rich>
      </c:tx>
      <c:layout>
        <c:manualLayout>
          <c:xMode val="edge"/>
          <c:yMode val="edge"/>
          <c:x val="2.3950456446420621E-2"/>
          <c:y val="0.7166966356431544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101600">
              <a:schemeClr val="accent2">
                <a:satMod val="175000"/>
                <a:alpha val="40000"/>
              </a:schemeClr>
            </a:glow>
            <a:innerShdw blurRad="114300">
              <a:prstClr val="black"/>
            </a:innerShdw>
          </a:effectLst>
          <a:scene3d>
            <a:camera prst="orthographicFront"/>
            <a:lightRig rig="threePt" dir="t"/>
          </a:scene3d>
          <a:sp3d>
            <a:bevelT prst="angle"/>
          </a:sp3d>
        </c:spPr>
      </c:pivotFmt>
      <c:pivotFmt>
        <c:idx val="6"/>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152400" h="50800" prst="softRound"/>
          </a:sp3d>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43746997793708092"/>
          <c:y val="0.24204620262439838"/>
          <c:w val="0.48039965370157806"/>
          <c:h val="0.66932626794358541"/>
        </c:manualLayout>
      </c:layout>
      <c:doughnutChart>
        <c:varyColors val="1"/>
        <c:ser>
          <c:idx val="0"/>
          <c:order val="0"/>
          <c:tx>
            <c:strRef>
              <c:f>Sheet5!$F$3</c:f>
              <c:strCache>
                <c:ptCount val="1"/>
                <c:pt idx="0">
                  <c:v>Total</c:v>
                </c:pt>
              </c:strCache>
            </c:strRef>
          </c:tx>
          <c:dPt>
            <c:idx val="0"/>
            <c:bubble3D val="0"/>
            <c:explosion val="21"/>
            <c:spPr>
              <a:solidFill>
                <a:schemeClr val="accent1"/>
              </a:solidFill>
              <a:ln>
                <a:noFill/>
              </a:ln>
              <a:effectLst>
                <a:glow rad="101600">
                  <a:schemeClr val="accent2">
                    <a:satMod val="175000"/>
                    <a:alpha val="40000"/>
                  </a:schemeClr>
                </a:glow>
                <a:innerShdw blurRad="114300">
                  <a:prstClr val="black"/>
                </a:innerShdw>
              </a:effectLst>
              <a:scene3d>
                <a:camera prst="orthographicFront"/>
                <a:lightRig rig="threePt" dir="t"/>
              </a:scene3d>
              <a:sp3d>
                <a:bevelT prst="angle"/>
              </a:sp3d>
            </c:spPr>
            <c:extLst>
              <c:ext xmlns:c16="http://schemas.microsoft.com/office/drawing/2014/chart" uri="{C3380CC4-5D6E-409C-BE32-E72D297353CC}">
                <c16:uniqueId val="{00000001-57B3-4512-A2E0-1E029F7479E1}"/>
              </c:ext>
            </c:extLst>
          </c:dPt>
          <c:dPt>
            <c:idx val="1"/>
            <c:bubble3D val="0"/>
            <c:explosion val="36"/>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w="152400" h="50800" prst="softRound"/>
              </a:sp3d>
            </c:spPr>
            <c:extLst>
              <c:ext xmlns:c16="http://schemas.microsoft.com/office/drawing/2014/chart" uri="{C3380CC4-5D6E-409C-BE32-E72D297353CC}">
                <c16:uniqueId val="{00000003-57B3-4512-A2E0-1E029F7479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Sheet5!$E$4:$E$6</c:f>
              <c:strCache>
                <c:ptCount val="2"/>
                <c:pt idx="0">
                  <c:v>Karachi</c:v>
                </c:pt>
                <c:pt idx="1">
                  <c:v>Lahore</c:v>
                </c:pt>
              </c:strCache>
            </c:strRef>
          </c:cat>
          <c:val>
            <c:numRef>
              <c:f>Sheet5!$F$4:$F$6</c:f>
              <c:numCache>
                <c:formatCode>General</c:formatCode>
                <c:ptCount val="2"/>
                <c:pt idx="0">
                  <c:v>133000</c:v>
                </c:pt>
                <c:pt idx="1">
                  <c:v>45000</c:v>
                </c:pt>
              </c:numCache>
            </c:numRef>
          </c:val>
          <c:extLst>
            <c:ext xmlns:c16="http://schemas.microsoft.com/office/drawing/2014/chart" uri="{C3380CC4-5D6E-409C-BE32-E72D297353CC}">
              <c16:uniqueId val="{00000004-57B3-4512-A2E0-1E029F7479E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[Projects^N1 Sales dashboard.xlsx]Sheet5!PivotTable10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700"/>
              <a:t>Lahore</a:t>
            </a:r>
          </a:p>
        </c:rich>
      </c:tx>
      <c:layout>
        <c:manualLayout>
          <c:xMode val="edge"/>
          <c:yMode val="edge"/>
          <c:x val="0.60949870710030163"/>
          <c:y val="0.1657830133668769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glow rad="228600">
              <a:schemeClr val="accent4">
                <a:satMod val="175000"/>
                <a:alpha val="40000"/>
              </a:schemeClr>
            </a:glow>
          </a:effectLst>
          <a:scene3d>
            <a:camera prst="orthographicFront"/>
            <a:lightRig rig="threePt" dir="t"/>
          </a:scene3d>
          <a:sp3d>
            <a:bevelT prst="convex"/>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glow rad="228600">
              <a:schemeClr val="accent4">
                <a:satMod val="175000"/>
                <a:alpha val="40000"/>
              </a:schemeClr>
            </a:glow>
          </a:effectLst>
          <a:scene3d>
            <a:camera prst="orthographicFront"/>
            <a:lightRig rig="threePt" dir="t"/>
          </a:scene3d>
          <a:sp3d>
            <a:bevelT prst="convex"/>
          </a:sp3d>
        </c:spPr>
        <c:dLbl>
          <c:idx val="0"/>
          <c:layout>
            <c:manualLayout>
              <c:x val="-0.22998066114288462"/>
              <c:y val="-0.254350416612425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glow rad="228600">
              <a:schemeClr val="accent4">
                <a:satMod val="175000"/>
                <a:alpha val="40000"/>
              </a:schemeClr>
            </a:glow>
          </a:effectLst>
          <a:scene3d>
            <a:camera prst="orthographicFront"/>
            <a:lightRig rig="threePt" dir="t"/>
          </a:scene3d>
          <a:sp3d>
            <a:bevelT prst="convex"/>
          </a:sp3d>
        </c:spPr>
        <c:dLbl>
          <c:idx val="0"/>
          <c:layout>
            <c:manualLayout>
              <c:x val="0.38065764602960206"/>
              <c:y val="-5.869624998748275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13399131560166E-2"/>
          <c:y val="0.33067345240381546"/>
          <c:w val="0.56368518451322613"/>
          <c:h val="0.62154311503744963"/>
        </c:manualLayout>
      </c:layout>
      <c:doughnutChart>
        <c:varyColors val="1"/>
        <c:ser>
          <c:idx val="0"/>
          <c:order val="0"/>
          <c:tx>
            <c:strRef>
              <c:f>Sheet5!$F$3</c:f>
              <c:strCache>
                <c:ptCount val="1"/>
                <c:pt idx="0">
                  <c:v>Total</c:v>
                </c:pt>
              </c:strCache>
            </c:strRef>
          </c:tx>
          <c:spPr>
            <a:effectLst>
              <a:glow rad="228600">
                <a:schemeClr val="accent4">
                  <a:satMod val="175000"/>
                  <a:alpha val="40000"/>
                </a:schemeClr>
              </a:glow>
            </a:effectLst>
            <a:scene3d>
              <a:camera prst="orthographicFront"/>
              <a:lightRig rig="threePt" dir="t"/>
            </a:scene3d>
            <a:sp3d>
              <a:bevelT prst="convex"/>
            </a:sp3d>
          </c:spPr>
          <c:dPt>
            <c:idx val="0"/>
            <c:bubble3D val="0"/>
            <c:spPr>
              <a:solidFill>
                <a:schemeClr val="accent1"/>
              </a:solidFill>
              <a:ln>
                <a:noFill/>
              </a:ln>
              <a:effectLst>
                <a:glow rad="228600">
                  <a:schemeClr val="accent4">
                    <a:satMod val="175000"/>
                    <a:alpha val="40000"/>
                  </a:schemeClr>
                </a:glow>
              </a:effectLst>
              <a:scene3d>
                <a:camera prst="orthographicFront"/>
                <a:lightRig rig="threePt" dir="t"/>
              </a:scene3d>
              <a:sp3d>
                <a:bevelT prst="convex"/>
              </a:sp3d>
            </c:spPr>
            <c:extLst>
              <c:ext xmlns:c16="http://schemas.microsoft.com/office/drawing/2014/chart" uri="{C3380CC4-5D6E-409C-BE32-E72D297353CC}">
                <c16:uniqueId val="{00000001-57B3-4512-A2E0-1E029F7479E1}"/>
              </c:ext>
            </c:extLst>
          </c:dPt>
          <c:dPt>
            <c:idx val="1"/>
            <c:bubble3D val="0"/>
            <c:spPr>
              <a:solidFill>
                <a:schemeClr val="accent2"/>
              </a:solidFill>
              <a:ln>
                <a:noFill/>
              </a:ln>
              <a:effectLst>
                <a:glow rad="228600">
                  <a:schemeClr val="accent4">
                    <a:satMod val="175000"/>
                    <a:alpha val="40000"/>
                  </a:schemeClr>
                </a:glow>
              </a:effectLst>
              <a:scene3d>
                <a:camera prst="orthographicFront"/>
                <a:lightRig rig="threePt" dir="t"/>
              </a:scene3d>
              <a:sp3d>
                <a:bevelT prst="convex"/>
              </a:sp3d>
            </c:spPr>
            <c:extLst>
              <c:ext xmlns:c16="http://schemas.microsoft.com/office/drawing/2014/chart" uri="{C3380CC4-5D6E-409C-BE32-E72D297353CC}">
                <c16:uniqueId val="{00000003-57B3-4512-A2E0-1E029F7479E1}"/>
              </c:ext>
            </c:extLst>
          </c:dPt>
          <c:dLbls>
            <c:dLbl>
              <c:idx val="0"/>
              <c:layout>
                <c:manualLayout>
                  <c:x val="-0.22998066114288462"/>
                  <c:y val="-0.254350416612425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B3-4512-A2E0-1E029F7479E1}"/>
                </c:ext>
              </c:extLst>
            </c:dLbl>
            <c:dLbl>
              <c:idx val="1"/>
              <c:layout>
                <c:manualLayout>
                  <c:x val="0.38065764602960206"/>
                  <c:y val="-5.86962499874827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B3-4512-A2E0-1E029F7479E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Sheet5!$E$4:$E$6</c:f>
              <c:strCache>
                <c:ptCount val="2"/>
                <c:pt idx="0">
                  <c:v>Karachi</c:v>
                </c:pt>
                <c:pt idx="1">
                  <c:v>Lahore</c:v>
                </c:pt>
              </c:strCache>
            </c:strRef>
          </c:cat>
          <c:val>
            <c:numRef>
              <c:f>Sheet5!$F$4:$F$6</c:f>
              <c:numCache>
                <c:formatCode>General</c:formatCode>
                <c:ptCount val="2"/>
                <c:pt idx="0">
                  <c:v>133000</c:v>
                </c:pt>
                <c:pt idx="1">
                  <c:v>45000</c:v>
                </c:pt>
              </c:numCache>
            </c:numRef>
          </c:val>
          <c:extLst>
            <c:ext xmlns:c16="http://schemas.microsoft.com/office/drawing/2014/chart" uri="{C3380CC4-5D6E-409C-BE32-E72D297353CC}">
              <c16:uniqueId val="{00000004-57B3-4512-A2E0-1E029F7479E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[Projects^N1 Sales dashboard.xlsx]Sheet5!PivotTable10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Karachi</a:t>
            </a:r>
            <a:r>
              <a:rPr lang="en-US" baseline="0"/>
              <a:t> / Lahore</a:t>
            </a:r>
            <a:endParaRPr lang="en-US"/>
          </a:p>
        </c:rich>
      </c:tx>
      <c:layout>
        <c:manualLayout>
          <c:xMode val="edge"/>
          <c:yMode val="edge"/>
          <c:x val="0.35130544165850236"/>
          <c:y val="0.1340076392889913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8613399131560166E-2"/>
          <c:y val="0.33067345240381546"/>
          <c:w val="0.56368518451322613"/>
          <c:h val="0.62154311503744963"/>
        </c:manualLayout>
      </c:layout>
      <c:doughnutChart>
        <c:varyColors val="1"/>
        <c:ser>
          <c:idx val="0"/>
          <c:order val="0"/>
          <c:tx>
            <c:strRef>
              <c:f>Sheet5!$F$3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9BCA-4C17-A536-27A53270E45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35-4D68-B650-F17B0D86580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Sheet5!$E$4:$E$6</c:f>
              <c:strCache>
                <c:ptCount val="2"/>
                <c:pt idx="0">
                  <c:v>Karachi</c:v>
                </c:pt>
                <c:pt idx="1">
                  <c:v>Lahore</c:v>
                </c:pt>
              </c:strCache>
            </c:strRef>
          </c:cat>
          <c:val>
            <c:numRef>
              <c:f>Sheet5!$F$4:$F$6</c:f>
              <c:numCache>
                <c:formatCode>General</c:formatCode>
                <c:ptCount val="2"/>
                <c:pt idx="0">
                  <c:v>133000</c:v>
                </c:pt>
                <c:pt idx="1">
                  <c:v>45000</c:v>
                </c:pt>
              </c:numCache>
            </c:numRef>
          </c:val>
          <c:extLst>
            <c:ext xmlns:c16="http://schemas.microsoft.com/office/drawing/2014/chart" uri="{C3380CC4-5D6E-409C-BE32-E72D297353CC}">
              <c16:uniqueId val="{00000000-9BCA-4C17-A536-27A53270E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717878007184582"/>
          <c:y val="0.29835637923308367"/>
          <c:w val="0.31595486048114951"/>
          <c:h val="0.537125770864007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25400</xdr:rowOff>
    </xdr:from>
    <xdr:to>
      <xdr:col>3</xdr:col>
      <xdr:colOff>88900</xdr:colOff>
      <xdr:row>25</xdr:row>
      <xdr:rowOff>0</xdr:rowOff>
    </xdr:to>
    <xdr:graphicFrame macro="">
      <xdr:nvGraphicFramePr>
        <xdr:cNvPr id="20" name="Chart 19">
          <a:extLst>
            <a:ext uri="{FF2B5EF4-FFF2-40B4-BE49-F238E27FC236}">
              <a16:creationId xmlns:a16="http://schemas.microsoft.com/office/drawing/2014/main" id="{4D5C801F-55BA-4BC5-893D-D1589E6AF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1600200</xdr:colOff>
      <xdr:row>25</xdr:row>
      <xdr:rowOff>76200</xdr:rowOff>
    </xdr:from>
    <xdr:to>
      <xdr:col>2</xdr:col>
      <xdr:colOff>63500</xdr:colOff>
      <xdr:row>32</xdr:row>
      <xdr:rowOff>15876</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7CE140ED-FED6-402C-8D05-B586C2BDD6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0200" y="4979068"/>
              <a:ext cx="1601537" cy="1273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11</xdr:row>
      <xdr:rowOff>15876</xdr:rowOff>
    </xdr:from>
    <xdr:to>
      <xdr:col>5</xdr:col>
      <xdr:colOff>25400</xdr:colOff>
      <xdr:row>24</xdr:row>
      <xdr:rowOff>177800</xdr:rowOff>
    </xdr:to>
    <xdr:graphicFrame macro="">
      <xdr:nvGraphicFramePr>
        <xdr:cNvPr id="22" name="Chart 21">
          <a:extLst>
            <a:ext uri="{FF2B5EF4-FFF2-40B4-BE49-F238E27FC236}">
              <a16:creationId xmlns:a16="http://schemas.microsoft.com/office/drawing/2014/main" id="{97ADEED2-3789-40BA-A8CF-B2632A767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xdr:colOff>
      <xdr:row>11</xdr:row>
      <xdr:rowOff>4214</xdr:rowOff>
    </xdr:from>
    <xdr:to>
      <xdr:col>7</xdr:col>
      <xdr:colOff>12025</xdr:colOff>
      <xdr:row>25</xdr:row>
      <xdr:rowOff>34391</xdr:rowOff>
    </xdr:to>
    <xdr:graphicFrame macro="">
      <xdr:nvGraphicFramePr>
        <xdr:cNvPr id="2" name="Chart 1">
          <a:extLst>
            <a:ext uri="{FF2B5EF4-FFF2-40B4-BE49-F238E27FC236}">
              <a16:creationId xmlns:a16="http://schemas.microsoft.com/office/drawing/2014/main" id="{F6FECF18-6D1E-4345-9DFF-B16F5E782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63219</xdr:colOff>
      <xdr:row>25</xdr:row>
      <xdr:rowOff>76199</xdr:rowOff>
    </xdr:from>
    <xdr:to>
      <xdr:col>3</xdr:col>
      <xdr:colOff>611117</xdr:colOff>
      <xdr:row>32</xdr:row>
      <xdr:rowOff>4215</xdr:rowOff>
    </xdr:to>
    <mc:AlternateContent xmlns:mc="http://schemas.openxmlformats.org/markup-compatibility/2006" xmlns:a14="http://schemas.microsoft.com/office/drawing/2010/main">
      <mc:Choice Requires="a14">
        <xdr:graphicFrame macro="">
          <xdr:nvGraphicFramePr>
            <xdr:cNvPr id="4" name="City 3">
              <a:extLst>
                <a:ext uri="{FF2B5EF4-FFF2-40B4-BE49-F238E27FC236}">
                  <a16:creationId xmlns:a16="http://schemas.microsoft.com/office/drawing/2014/main" id="{F738004D-9353-4160-8662-327F5B19CB75}"/>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3201456" y="4979067"/>
              <a:ext cx="1911477" cy="1261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609600</xdr:colOff>
      <xdr:row>25</xdr:row>
      <xdr:rowOff>101601</xdr:rowOff>
    </xdr:from>
    <xdr:to>
      <xdr:col>4</xdr:col>
      <xdr:colOff>712268</xdr:colOff>
      <xdr:row>32</xdr:row>
      <xdr:rowOff>4215</xdr:rowOff>
    </xdr:to>
    <mc:AlternateContent xmlns:mc="http://schemas.openxmlformats.org/markup-compatibility/2006" xmlns:a14="http://schemas.microsoft.com/office/drawing/2010/main">
      <mc:Choice Requires="a14">
        <xdr:graphicFrame macro="">
          <xdr:nvGraphicFramePr>
            <xdr:cNvPr id="5" name="Months (Date) 1">
              <a:extLst>
                <a:ext uri="{FF2B5EF4-FFF2-40B4-BE49-F238E27FC236}">
                  <a16:creationId xmlns:a16="http://schemas.microsoft.com/office/drawing/2014/main" id="{BEB862D0-64A7-4E2C-9EBA-0DDC5352B32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5111416" y="5004469"/>
              <a:ext cx="1827194" cy="12361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723786</xdr:colOff>
      <xdr:row>25</xdr:row>
      <xdr:rowOff>37931</xdr:rowOff>
    </xdr:from>
    <xdr:to>
      <xdr:col>6</xdr:col>
      <xdr:colOff>42144</xdr:colOff>
      <xdr:row>31</xdr:row>
      <xdr:rowOff>189655</xdr:rowOff>
    </xdr:to>
    <xdr:graphicFrame macro="">
      <xdr:nvGraphicFramePr>
        <xdr:cNvPr id="8" name="Chart 7">
          <a:extLst>
            <a:ext uri="{FF2B5EF4-FFF2-40B4-BE49-F238E27FC236}">
              <a16:creationId xmlns:a16="http://schemas.microsoft.com/office/drawing/2014/main" id="{3D8542A7-E1ED-4EB1-A73A-951ED3EC2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12753</xdr:colOff>
      <xdr:row>25</xdr:row>
      <xdr:rowOff>37933</xdr:rowOff>
    </xdr:from>
    <xdr:to>
      <xdr:col>7</xdr:col>
      <xdr:colOff>4214</xdr:colOff>
      <xdr:row>32</xdr:row>
      <xdr:rowOff>1</xdr:rowOff>
    </xdr:to>
    <xdr:graphicFrame macro="">
      <xdr:nvGraphicFramePr>
        <xdr:cNvPr id="9" name="Chart 8">
          <a:extLst>
            <a:ext uri="{FF2B5EF4-FFF2-40B4-BE49-F238E27FC236}">
              <a16:creationId xmlns:a16="http://schemas.microsoft.com/office/drawing/2014/main" id="{3546906B-5175-C932-4806-41D28C30C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4</xdr:row>
      <xdr:rowOff>28576</xdr:rowOff>
    </xdr:from>
    <xdr:to>
      <xdr:col>1</xdr:col>
      <xdr:colOff>600075</xdr:colOff>
      <xdr:row>14</xdr:row>
      <xdr:rowOff>28576</xdr:rowOff>
    </xdr:to>
    <mc:AlternateContent xmlns:mc="http://schemas.openxmlformats.org/markup-compatibility/2006" xmlns:a14="http://schemas.microsoft.com/office/drawing/2010/main">
      <mc:Choice Requires="a14">
        <xdr:graphicFrame macro="">
          <xdr:nvGraphicFramePr>
            <xdr:cNvPr id="2" name="Sales">
              <a:extLst>
                <a:ext uri="{FF2B5EF4-FFF2-40B4-BE49-F238E27FC236}">
                  <a16:creationId xmlns:a16="http://schemas.microsoft.com/office/drawing/2014/main" id="{3A0664ED-B477-9980-D37C-24B990DA4D20}"/>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57150" y="800101"/>
              <a:ext cx="135255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5</xdr:row>
      <xdr:rowOff>180976</xdr:rowOff>
    </xdr:from>
    <xdr:to>
      <xdr:col>6</xdr:col>
      <xdr:colOff>76200</xdr:colOff>
      <xdr:row>10</xdr:row>
      <xdr:rowOff>104776</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C692DB7-FC0F-9E14-5CB7-98EFF830AB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924175" y="1143001"/>
              <a:ext cx="174307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590550</xdr:colOff>
      <xdr:row>6</xdr:row>
      <xdr:rowOff>57150</xdr:rowOff>
    </xdr:from>
    <xdr:to>
      <xdr:col>9</xdr:col>
      <xdr:colOff>666750</xdr:colOff>
      <xdr:row>10</xdr:row>
      <xdr:rowOff>180975</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73F9DA87-A71F-B060-9DDA-2F643B94B43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210300" y="1209675"/>
              <a:ext cx="1704975"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28</xdr:row>
      <xdr:rowOff>38100</xdr:rowOff>
    </xdr:from>
    <xdr:to>
      <xdr:col>2</xdr:col>
      <xdr:colOff>104775</xdr:colOff>
      <xdr:row>37</xdr:row>
      <xdr:rowOff>47625</xdr:rowOff>
    </xdr:to>
    <mc:AlternateContent xmlns:mc="http://schemas.openxmlformats.org/markup-compatibility/2006" xmlns:a14="http://schemas.microsoft.com/office/drawing/2010/main">
      <mc:Choice Requires="a14">
        <xdr:graphicFrame macro="">
          <xdr:nvGraphicFramePr>
            <xdr:cNvPr id="5" name="Customer">
              <a:extLst>
                <a:ext uri="{FF2B5EF4-FFF2-40B4-BE49-F238E27FC236}">
                  <a16:creationId xmlns:a16="http://schemas.microsoft.com/office/drawing/2014/main" id="{43BB3CEC-DA95-3FB7-40E7-F9506F5A5609}"/>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9525" y="5391150"/>
              <a:ext cx="17145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314325</xdr:colOff>
      <xdr:row>24</xdr:row>
      <xdr:rowOff>19050</xdr:rowOff>
    </xdr:from>
    <xdr:to>
      <xdr:col>7</xdr:col>
      <xdr:colOff>523875</xdr:colOff>
      <xdr:row>37</xdr:row>
      <xdr:rowOff>66675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B145B3AE-1906-701B-E0EA-804922DF194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095750" y="4610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561975</xdr:colOff>
      <xdr:row>18</xdr:row>
      <xdr:rowOff>28575</xdr:rowOff>
    </xdr:from>
    <xdr:to>
      <xdr:col>13</xdr:col>
      <xdr:colOff>609600</xdr:colOff>
      <xdr:row>31</xdr:row>
      <xdr:rowOff>66675</xdr:rowOff>
    </xdr:to>
    <mc:AlternateContent xmlns:mc="http://schemas.openxmlformats.org/markup-compatibility/2006" xmlns:a14="http://schemas.microsoft.com/office/drawing/2010/main">
      <mc:Choice Requires="a14">
        <xdr:graphicFrame macro="">
          <xdr:nvGraphicFramePr>
            <xdr:cNvPr id="10" name="City 2">
              <a:extLst>
                <a:ext uri="{FF2B5EF4-FFF2-40B4-BE49-F238E27FC236}">
                  <a16:creationId xmlns:a16="http://schemas.microsoft.com/office/drawing/2014/main" id="{E53CC45A-01D2-66A4-627F-B91BB7E4795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9086850" y="346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xdr:colOff>
      <xdr:row>29</xdr:row>
      <xdr:rowOff>0</xdr:rowOff>
    </xdr:from>
    <xdr:to>
      <xdr:col>11</xdr:col>
      <xdr:colOff>9525</xdr:colOff>
      <xdr:row>42</xdr:row>
      <xdr:rowOff>47625</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E86B6421-0943-4DC7-6810-E9871AAA23B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7267575" y="5543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11</xdr:row>
      <xdr:rowOff>95250</xdr:rowOff>
    </xdr:from>
    <xdr:to>
      <xdr:col>5</xdr:col>
      <xdr:colOff>609600</xdr:colOff>
      <xdr:row>21</xdr:row>
      <xdr:rowOff>55245</xdr:rowOff>
    </xdr:to>
    <xdr:graphicFrame macro="">
      <xdr:nvGraphicFramePr>
        <xdr:cNvPr id="8" name="Chart 7">
          <a:extLst>
            <a:ext uri="{FF2B5EF4-FFF2-40B4-BE49-F238E27FC236}">
              <a16:creationId xmlns:a16="http://schemas.microsoft.com/office/drawing/2014/main" id="{848D3B0F-CDA0-ECED-BFD6-A20421178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fida ulllah" refreshedDate="46023.603404050926" createdVersion="8" refreshedVersion="8" minRefreshableVersion="3" recordCount="7" xr:uid="{45AEDA65-C43D-4E09-8831-FC0445B75260}">
  <cacheSource type="worksheet">
    <worksheetSource ref="A1:E8" sheet="Raw_data_Sheet"/>
  </cacheSource>
  <cacheFields count="7">
    <cacheField name="Date" numFmtId="14">
      <sharedItems containsSemiMixedTypes="0" containsNonDate="0" containsDate="1" containsString="0" minDate="2024-01-01T00:00:00" maxDate="2024-07-02T00:00:00" count="7">
        <d v="2024-01-01T00:00:00"/>
        <d v="2024-02-01T00:00:00"/>
        <d v="2024-03-01T00:00:00"/>
        <d v="2024-04-01T00:00:00"/>
        <d v="2024-05-01T00:00:00"/>
        <d v="2024-06-01T00:00:00"/>
        <d v="2024-07-01T00:00:00"/>
      </sharedItems>
      <fieldGroup par="6"/>
    </cacheField>
    <cacheField name="Customer" numFmtId="0">
      <sharedItems count="5">
        <s v="Ali"/>
        <s v="Ayesha"/>
        <s v="Fida"/>
        <s v="Hamza"/>
        <s v="Sara"/>
      </sharedItems>
    </cacheField>
    <cacheField name="City" numFmtId="0">
      <sharedItems count="2">
        <s v="Karachi"/>
        <s v="Lahore"/>
      </sharedItems>
    </cacheField>
    <cacheField name="Category" numFmtId="0">
      <sharedItems count="2">
        <s v="Electronics"/>
        <s v="Accessories"/>
      </sharedItems>
    </cacheField>
    <cacheField name="Sales" numFmtId="0">
      <sharedItems containsSemiMixedTypes="0" containsString="0" containsNumber="1" containsInteger="1" minValue="8000" maxValue="50000" count="6">
        <n v="50000"/>
        <n v="30000"/>
        <n v="15000"/>
        <n v="20000"/>
        <n v="8000"/>
        <n v="25000"/>
      </sharedItems>
    </cacheField>
    <cacheField name="Days (Date)" numFmtId="0" databaseField="0">
      <fieldGroup base="0">
        <rangePr groupBy="days" startDate="2024-01-01T00:00:00" endDate="2024-07-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2024"/>
        </groupItems>
      </fieldGroup>
    </cacheField>
    <cacheField name="Months (Date)" numFmtId="0" databaseField="0">
      <fieldGroup base="0">
        <rangePr groupBy="months" startDate="2024-01-01T00:00:00" endDate="2024-07-02T00:00:00"/>
        <groupItems count="14">
          <s v="&lt;1/1/2024"/>
          <s v="Jan"/>
          <s v="Feb"/>
          <s v="Mar"/>
          <s v="Apr"/>
          <s v="May"/>
          <s v="Jun"/>
          <s v="Jul"/>
          <s v="Aug"/>
          <s v="Sep"/>
          <s v="Oct"/>
          <s v="Nov"/>
          <s v="Dec"/>
          <s v="&gt;7/2/2024"/>
        </groupItems>
      </fieldGroup>
    </cacheField>
  </cacheFields>
  <extLst>
    <ext xmlns:x14="http://schemas.microsoft.com/office/spreadsheetml/2009/9/main" uri="{725AE2AE-9491-48be-B2B4-4EB974FC3084}">
      <x14:pivotCacheDefinition pivotCacheId="1193355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r>
  <r>
    <x v="1"/>
    <x v="0"/>
    <x v="0"/>
    <x v="0"/>
    <x v="1"/>
  </r>
  <r>
    <x v="2"/>
    <x v="1"/>
    <x v="1"/>
    <x v="1"/>
    <x v="2"/>
  </r>
  <r>
    <x v="3"/>
    <x v="2"/>
    <x v="0"/>
    <x v="0"/>
    <x v="3"/>
  </r>
  <r>
    <x v="4"/>
    <x v="3"/>
    <x v="0"/>
    <x v="1"/>
    <x v="4"/>
  </r>
  <r>
    <x v="5"/>
    <x v="0"/>
    <x v="0"/>
    <x v="0"/>
    <x v="5"/>
  </r>
  <r>
    <x v="6"/>
    <x v="4"/>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1D8B9-CCD9-4BC0-93BE-03B18539CAF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7" firstHeaderRow="1" firstDataRow="1" firstDataCol="1"/>
  <pivotFields count="7">
    <pivotField numFmtId="14" showAll="0">
      <items count="8">
        <item x="0"/>
        <item x="1"/>
        <item x="2"/>
        <item x="3"/>
        <item x="4"/>
        <item x="5"/>
        <item x="6"/>
        <item t="default"/>
      </items>
    </pivotField>
    <pivotField showAll="0"/>
    <pivotField axis="axisRow" showAll="0">
      <items count="3">
        <item x="0"/>
        <item x="1"/>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x v="1"/>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F807D-B779-4A09-B6A9-EA337395C64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6" firstHeaderRow="1" firstDataRow="1" firstDataCol="1"/>
  <pivotFields count="7">
    <pivotField numFmtId="14" showAll="0">
      <items count="8">
        <item x="0"/>
        <item x="1"/>
        <item x="2"/>
        <item x="3"/>
        <item x="4"/>
        <item x="5"/>
        <item x="6"/>
        <item t="default"/>
      </items>
    </pivotField>
    <pivotField showAll="0"/>
    <pivotField axis="axisRow" showAll="0">
      <items count="3">
        <item x="0"/>
        <item x="1"/>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x v="1"/>
    </i>
    <i t="grand">
      <x/>
    </i>
  </rowItems>
  <colItems count="1">
    <i/>
  </colItems>
  <dataFields count="1">
    <dataField name="Sum of Sales" fld="4" baseField="0" baseItem="0"/>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54C13B-9E72-473F-B125-9C75EA8996B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14:N17" firstHeaderRow="1" firstDataRow="1" firstDataCol="1"/>
  <pivotFields count="7">
    <pivotField numFmtId="14" showAll="0">
      <items count="8">
        <item x="0"/>
        <item x="1"/>
        <item x="2"/>
        <item x="3"/>
        <item x="4"/>
        <item x="5"/>
        <item x="6"/>
        <item t="default"/>
      </items>
    </pivotField>
    <pivotField showAll="0">
      <items count="6">
        <item x="0"/>
        <item x="1"/>
        <item x="2"/>
        <item x="3"/>
        <item x="4"/>
        <item t="default"/>
      </items>
    </pivotField>
    <pivotField axis="axisRow" showAll="0">
      <items count="3">
        <item x="0"/>
        <item x="1"/>
        <item t="default"/>
      </items>
    </pivotField>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x v="1"/>
    </i>
    <i t="grand">
      <x/>
    </i>
  </rowItems>
  <colItems count="1">
    <i/>
  </colItems>
  <dataFields count="1">
    <dataField name="Sum of Sales" fld="4" baseField="0" baseItem="0"/>
  </dataFields>
  <formats count="10">
    <format dxfId="9">
      <pivotArea type="all" dataOnly="0" outline="0" fieldPosition="0"/>
    </format>
    <format dxfId="8">
      <pivotArea outline="0" collapsedLevelsAreSubtotals="1" fieldPosition="0"/>
    </format>
    <format dxfId="7">
      <pivotArea field="3" type="button" dataOnly="0" labelOnly="1" outline="0"/>
    </format>
    <format dxfId="6">
      <pivotArea dataOnly="0" labelOnly="1" grandRow="1" outline="0"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3" type="button" dataOnly="0" labelOnly="1" outline="0"/>
    </format>
    <format dxfId="1">
      <pivotArea dataOnly="0" labelOnly="1" grandRow="1" outline="0" fieldPosition="0"/>
    </format>
    <format dxfId="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E3C59C-7783-45D1-8AA6-08C03F509F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21:K23" firstHeaderRow="1" firstDataRow="1" firstDataCol="1"/>
  <pivotFields count="7">
    <pivotField axis="axisRow" numFmtId="14" showAll="0">
      <items count="8">
        <item x="0"/>
        <item x="1"/>
        <item x="2"/>
        <item x="3"/>
        <item x="4"/>
        <item x="5"/>
        <item x="6"/>
        <item t="default"/>
      </items>
    </pivotField>
    <pivotField showAll="0">
      <items count="6">
        <item x="0"/>
        <item x="1"/>
        <item x="2"/>
        <item x="3"/>
        <item x="4"/>
        <item t="default"/>
      </items>
    </pivotField>
    <pivotField showAll="0">
      <items count="3">
        <item x="0"/>
        <item x="1"/>
        <item t="default"/>
      </items>
    </pivotField>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sd="0" x="3"/>
        <item h="1" sd="0" x="4"/>
        <item h="1" sd="0" x="5"/>
        <item h="1" sd="0" x="6"/>
        <item h="1" sd="0" x="7"/>
        <item h="1" sd="0" x="8"/>
        <item h="1" sd="0" x="9"/>
        <item h="1" sd="0" x="10"/>
        <item h="1" sd="0" x="11"/>
        <item h="1" sd="0" x="12"/>
        <item h="1" sd="0" x="13"/>
      </items>
    </pivotField>
  </pivotFields>
  <rowFields count="1">
    <field x="0"/>
  </rowFields>
  <rowItems count="2">
    <i>
      <x v="2"/>
    </i>
    <i t="grand">
      <x/>
    </i>
  </rowItems>
  <colItems count="1">
    <i/>
  </colItems>
  <dataFields count="1">
    <dataField name="Sum of Sales" fld="4" baseField="0" baseItem="0"/>
  </dataFields>
  <formats count="10">
    <format dxfId="19">
      <pivotArea type="all" dataOnly="0" outline="0" fieldPosition="0"/>
    </format>
    <format dxfId="18">
      <pivotArea outline="0" collapsedLevelsAreSubtotals="1" fieldPosition="0"/>
    </format>
    <format dxfId="17">
      <pivotArea field="3" type="button" dataOnly="0" labelOnly="1" outline="0"/>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3" type="button" dataOnly="0" labelOnly="1" outline="0"/>
    </format>
    <format dxfId="11">
      <pivotArea dataOnly="0" labelOnly="1" grandRow="1" outline="0" fieldPosition="0"/>
    </format>
    <format dxfId="10">
      <pivotArea dataOnly="0" labelOnly="1" outline="0" axis="axisValues" fieldPosition="0"/>
    </format>
  </formats>
  <chartFormats count="2">
    <chartFormat chart="10"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089B2E-048F-4CB5-BAFD-C73106955F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7" firstHeaderRow="1" firstDataRow="1" firstDataCol="1"/>
  <pivotFields count="7">
    <pivotField numFmtId="14" showAll="0">
      <items count="8">
        <item x="0"/>
        <item x="1"/>
        <item x="2"/>
        <item x="3"/>
        <item x="4"/>
        <item x="5"/>
        <item x="6"/>
        <item t="default"/>
      </items>
    </pivotField>
    <pivotField axis="axisRow" showAll="0">
      <items count="6">
        <item x="0"/>
        <item x="1"/>
        <item x="2"/>
        <item x="3"/>
        <item x="4"/>
        <item t="default"/>
      </items>
    </pivotField>
    <pivotField showAll="0">
      <items count="3">
        <item x="0"/>
        <item x="1"/>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1A8B9C-1BD2-4FFC-89D8-D53923BD03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numFmtId="14" showAll="0">
      <items count="8">
        <item x="0"/>
        <item x="1"/>
        <item x="2"/>
        <item x="3"/>
        <item x="4"/>
        <item x="5"/>
        <item x="6"/>
        <item t="default"/>
      </items>
    </pivotField>
    <pivotField showAll="0"/>
    <pivotField showAll="0">
      <items count="3">
        <item x="0"/>
        <item x="1"/>
        <item t="default"/>
      </items>
    </pivotField>
    <pivotField showAll="0"/>
    <pivotField dataField="1" showAll="0">
      <items count="7">
        <item x="4"/>
        <item h="1" x="2"/>
        <item h="1" x="3"/>
        <item h="1" x="5"/>
        <item h="1" x="1"/>
        <item h="1" x="0"/>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67A6CD-ADB4-465A-ACC6-BF039AD382C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21:G24" firstHeaderRow="1" firstDataRow="1" firstDataCol="1"/>
  <pivotFields count="7">
    <pivotField numFmtId="14" showAll="0">
      <items count="8">
        <item x="0"/>
        <item x="1"/>
        <item x="2"/>
        <item x="3"/>
        <item x="4"/>
        <item x="5"/>
        <item x="6"/>
        <item t="default"/>
      </items>
    </pivotField>
    <pivotField showAll="0">
      <items count="6">
        <item x="0"/>
        <item x="1"/>
        <item x="2"/>
        <item x="3"/>
        <item x="4"/>
        <item t="default"/>
      </items>
    </pivotField>
    <pivotField showAll="0">
      <items count="3">
        <item x="0"/>
        <item x="1"/>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v="1"/>
    </i>
    <i>
      <x/>
    </i>
    <i t="grand">
      <x/>
    </i>
  </rowItems>
  <colItems count="1">
    <i/>
  </colItems>
  <dataFields count="1">
    <dataField name="Sum of Sales" fld="4" baseField="0" baseItem="0"/>
  </dataFields>
  <formats count="12">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fieldPosition="0">
        <references count="1">
          <reference field="3"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grandRow="1" outline="0" fieldPosition="0"/>
    </format>
    <format dxfId="20">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3DA18FC-08B9-4706-ADF3-46DA239BFFE2}" sourceName="Sales">
  <pivotTables>
    <pivotTable tabId="6" name="PivotTable9"/>
  </pivotTables>
  <data>
    <tabular pivotCacheId="1193355567">
      <items count="6">
        <i x="4" s="1"/>
        <i x="2"/>
        <i x="3"/>
        <i x="5"/>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326E90F-C14C-465A-8965-EDDEA7CD2743}" sourceName="City">
  <pivotTables>
    <pivotTable tabId="6" name="PivotTable11"/>
    <pivotTable tabId="6" name="PivotTable12"/>
    <pivotTable tabId="6" name="PivotTable13"/>
    <pivotTable tabId="6" name="PivotTable15"/>
    <pivotTable tabId="6" name="PivotTable1"/>
    <pivotTable tabId="6" name="PivotTable10"/>
    <pivotTable tabId="6" name="PivotTable9"/>
  </pivotTables>
  <data>
    <tabular pivotCacheId="11933555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FD17265D-F994-4636-8AAF-DAE5DC4800CD}" sourceName="Customer">
  <pivotTables>
    <pivotTable tabId="6" name="PivotTable12"/>
    <pivotTable tabId="6" name="PivotTable13"/>
    <pivotTable tabId="6" name="PivotTable15"/>
    <pivotTable tabId="6" name="PivotTable1"/>
  </pivotTables>
  <data>
    <tabular pivotCacheId="1193355567">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D6E2D1-E5F5-45C9-A99A-07C656EFC62A}" sourceName="Category">
  <pivotTables>
    <pivotTable tabId="6" name="PivotTable13"/>
    <pivotTable tabId="6" name="PivotTable15"/>
    <pivotTable tabId="6" name="PivotTable1"/>
  </pivotTables>
  <data>
    <tabular pivotCacheId="119335556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4BC41E7-6B58-45AB-8EDC-C233211A640A}" sourceName="Months (Date)">
  <pivotTables>
    <pivotTable tabId="6" name="PivotTable1"/>
  </pivotTables>
  <data>
    <tabular pivotCacheId="1193355567">
      <items count="14">
        <i x="1"/>
        <i x="2"/>
        <i x="3" s="1"/>
        <i x="4"/>
        <i x="5"/>
        <i x="6"/>
        <i x="7"/>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CF7422E9-B12A-416A-8C40-2F195D8E44C0}" cache="Slicer_City1" caption="City" rowHeight="241300"/>
  <slicer name="Category" xr10:uid="{9BDD7CFE-A281-48C0-9155-D353C9A42DF0}" cache="Slicer_Category" caption="Category" style="SlicerStyleDark2" rowHeight="274320"/>
  <slicer name="Months (Date) 1" xr10:uid="{5C2E5A84-9536-4970-857A-12B32BD5723D}" cache="Slicer_Months__Date" caption="Month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E9119354-8477-4A21-8697-97D15D408031}" cache="Slicer_Sales" caption="Sales" rowHeight="241300"/>
  <slicer name="City 1" xr10:uid="{23D39EDA-A859-41FF-995B-63C8C0E957D6}" cache="Slicer_City1" caption="City" rowHeight="241300"/>
  <slicer name="City 2" xr10:uid="{4E9BFABD-2026-4F35-BCA2-EB07FEE7E7F8}" cache="Slicer_City1" caption="City" rowHeight="241300"/>
  <slicer name="City" xr10:uid="{846F1431-2787-4FC8-91E0-1193F14A27F4}" cache="Slicer_City1" caption="City" rowHeight="241300"/>
  <slicer name="Customer" xr10:uid="{CFF95A58-F35A-4BEE-BCAC-C7715460F437}" cache="Slicer_Customer" caption="Customer" rowHeight="241300"/>
  <slicer name="Category 1" xr10:uid="{105627CD-10CA-495C-AEB9-CF3A7D8C3812}" cache="Slicer_Category" caption="Category" rowHeight="241300"/>
  <slicer name="Months (Date)" xr10:uid="{8D8F8E92-090B-42EE-8572-702C19A1371D}" cache="Slicer_Months__Date" caption="Months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1070-3D01-466D-AE06-0B04BA97C5D7}">
  <dimension ref="B8:S32"/>
  <sheetViews>
    <sheetView tabSelected="1" topLeftCell="A9" zoomScale="95" zoomScaleNormal="95" workbookViewId="0">
      <selection activeCell="J26" sqref="J26"/>
    </sheetView>
  </sheetViews>
  <sheetFormatPr defaultRowHeight="15" x14ac:dyDescent="0.25"/>
  <cols>
    <col min="1" max="1" width="24.140625" customWidth="1"/>
    <col min="2" max="2" width="22.85546875" customWidth="1"/>
    <col min="3" max="3" width="20.42578125" customWidth="1"/>
    <col min="4" max="4" width="25.85546875" customWidth="1"/>
    <col min="5" max="5" width="20.5703125" customWidth="1"/>
    <col min="6" max="6" width="16.7109375" customWidth="1"/>
    <col min="7" max="7" width="24.140625" customWidth="1"/>
  </cols>
  <sheetData>
    <row r="8" spans="2:19" x14ac:dyDescent="0.25">
      <c r="S8" s="6"/>
    </row>
    <row r="9" spans="2:19" ht="26.25" x14ac:dyDescent="0.25">
      <c r="B9" s="19" t="s">
        <v>17</v>
      </c>
      <c r="C9" s="19"/>
      <c r="D9" s="19"/>
      <c r="E9" s="19"/>
      <c r="F9" s="19"/>
      <c r="G9" s="19"/>
    </row>
    <row r="10" spans="2:19" ht="15" customHeight="1" x14ac:dyDescent="0.25">
      <c r="B10" s="20" t="s">
        <v>25</v>
      </c>
      <c r="C10" s="21"/>
      <c r="D10" s="22"/>
      <c r="E10" s="20">
        <f>GETPIVOTDATA("Sales",Sheet5!$J$21)</f>
        <v>15000</v>
      </c>
      <c r="F10" s="21"/>
      <c r="G10" s="22"/>
    </row>
    <row r="11" spans="2:19" ht="15" customHeight="1" x14ac:dyDescent="0.25">
      <c r="B11" s="23"/>
      <c r="C11" s="24"/>
      <c r="D11" s="25"/>
      <c r="E11" s="23"/>
      <c r="F11" s="24"/>
      <c r="G11" s="25"/>
    </row>
    <row r="12" spans="2:19" x14ac:dyDescent="0.25">
      <c r="B12" s="11"/>
      <c r="C12" s="12"/>
      <c r="D12" s="12"/>
      <c r="E12" s="12"/>
      <c r="F12" s="12"/>
      <c r="G12" s="13"/>
    </row>
    <row r="13" spans="2:19" x14ac:dyDescent="0.25">
      <c r="B13" s="14"/>
      <c r="C13" s="15"/>
      <c r="D13" s="14"/>
      <c r="E13" s="15"/>
      <c r="F13" s="14"/>
      <c r="G13" s="15"/>
    </row>
    <row r="14" spans="2:19" x14ac:dyDescent="0.25">
      <c r="B14" s="11"/>
      <c r="C14" s="13"/>
      <c r="D14" s="11"/>
      <c r="E14" s="13"/>
      <c r="F14" s="11"/>
      <c r="G14" s="13"/>
    </row>
    <row r="15" spans="2:19" x14ac:dyDescent="0.25">
      <c r="B15" s="11"/>
      <c r="C15" s="13"/>
      <c r="D15" s="11"/>
      <c r="E15" s="13"/>
      <c r="F15" s="11"/>
      <c r="G15" s="13"/>
    </row>
    <row r="16" spans="2:19" x14ac:dyDescent="0.25">
      <c r="B16" s="11"/>
      <c r="C16" s="13"/>
      <c r="D16" s="11"/>
      <c r="E16" s="13"/>
      <c r="F16" s="11"/>
      <c r="G16" s="13"/>
    </row>
    <row r="17" spans="2:7" x14ac:dyDescent="0.25">
      <c r="B17" s="11"/>
      <c r="C17" s="13"/>
      <c r="D17" s="11"/>
      <c r="E17" s="13"/>
      <c r="F17" s="11"/>
      <c r="G17" s="13"/>
    </row>
    <row r="18" spans="2:7" x14ac:dyDescent="0.25">
      <c r="B18" s="11"/>
      <c r="C18" s="13"/>
      <c r="D18" s="11"/>
      <c r="E18" s="13"/>
      <c r="F18" s="11"/>
      <c r="G18" s="13"/>
    </row>
    <row r="19" spans="2:7" x14ac:dyDescent="0.25">
      <c r="B19" s="11"/>
      <c r="C19" s="13"/>
      <c r="D19" s="11"/>
      <c r="E19" s="13"/>
      <c r="F19" s="11"/>
      <c r="G19" s="13"/>
    </row>
    <row r="20" spans="2:7" x14ac:dyDescent="0.25">
      <c r="B20" s="11"/>
      <c r="C20" s="13"/>
      <c r="D20" s="11"/>
      <c r="E20" s="13"/>
      <c r="F20" s="11"/>
      <c r="G20" s="13"/>
    </row>
    <row r="21" spans="2:7" x14ac:dyDescent="0.25">
      <c r="B21" s="11"/>
      <c r="C21" s="13"/>
      <c r="D21" s="11"/>
      <c r="E21" s="13"/>
      <c r="F21" s="11"/>
      <c r="G21" s="13"/>
    </row>
    <row r="22" spans="2:7" x14ac:dyDescent="0.25">
      <c r="B22" s="11"/>
      <c r="C22" s="13"/>
      <c r="D22" s="11"/>
      <c r="E22" s="13"/>
      <c r="F22" s="11"/>
      <c r="G22" s="13"/>
    </row>
    <row r="23" spans="2:7" x14ac:dyDescent="0.25">
      <c r="B23" s="11"/>
      <c r="C23" s="13"/>
      <c r="D23" s="11"/>
      <c r="E23" s="13"/>
      <c r="F23" s="11"/>
      <c r="G23" s="13"/>
    </row>
    <row r="24" spans="2:7" x14ac:dyDescent="0.25">
      <c r="B24" s="11"/>
      <c r="C24" s="13"/>
      <c r="D24" s="11"/>
      <c r="E24" s="13"/>
      <c r="F24" s="11"/>
      <c r="G24" s="13"/>
    </row>
    <row r="25" spans="2:7" x14ac:dyDescent="0.25">
      <c r="B25" s="16"/>
      <c r="C25" s="17"/>
      <c r="D25" s="16"/>
      <c r="E25" s="17"/>
      <c r="F25" s="16"/>
      <c r="G25" s="17"/>
    </row>
    <row r="26" spans="2:7" x14ac:dyDescent="0.25">
      <c r="B26" s="11"/>
      <c r="C26" s="12"/>
      <c r="D26" s="12"/>
      <c r="E26" s="12"/>
      <c r="F26" s="12"/>
      <c r="G26" s="13"/>
    </row>
    <row r="27" spans="2:7" x14ac:dyDescent="0.25">
      <c r="B27" s="11"/>
      <c r="C27" s="12"/>
      <c r="D27" s="12"/>
      <c r="E27" s="12"/>
      <c r="F27" s="12"/>
      <c r="G27" s="13"/>
    </row>
    <row r="28" spans="2:7" x14ac:dyDescent="0.25">
      <c r="B28" s="11"/>
      <c r="C28" s="12"/>
      <c r="D28" s="12"/>
      <c r="E28" s="12"/>
      <c r="F28" s="12"/>
      <c r="G28" s="13"/>
    </row>
    <row r="29" spans="2:7" x14ac:dyDescent="0.25">
      <c r="B29" s="11"/>
      <c r="C29" s="12"/>
      <c r="D29" s="12"/>
      <c r="E29" s="12"/>
      <c r="F29" s="12"/>
      <c r="G29" s="13"/>
    </row>
    <row r="30" spans="2:7" x14ac:dyDescent="0.25">
      <c r="B30" s="11"/>
      <c r="C30" s="12"/>
      <c r="D30" s="12"/>
      <c r="E30" s="12"/>
      <c r="F30" s="12"/>
      <c r="G30" s="13"/>
    </row>
    <row r="31" spans="2:7" x14ac:dyDescent="0.25">
      <c r="B31" s="11"/>
      <c r="C31" s="12"/>
      <c r="D31" s="12"/>
      <c r="E31" s="12"/>
      <c r="F31" s="12"/>
      <c r="G31" s="13"/>
    </row>
    <row r="32" spans="2:7" x14ac:dyDescent="0.25">
      <c r="B32" s="16"/>
      <c r="C32" s="18"/>
      <c r="D32" s="18"/>
      <c r="E32" s="18"/>
      <c r="F32" s="18"/>
      <c r="G32" s="17"/>
    </row>
  </sheetData>
  <mergeCells count="3">
    <mergeCell ref="B9:G9"/>
    <mergeCell ref="B10:D11"/>
    <mergeCell ref="E10:G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365C7-622F-4C79-8E8C-675561DE6C09}">
  <dimension ref="A2:N27"/>
  <sheetViews>
    <sheetView workbookViewId="0">
      <selection activeCell="G15" sqref="G15"/>
    </sheetView>
  </sheetViews>
  <sheetFormatPr defaultRowHeight="15" x14ac:dyDescent="0.25"/>
  <cols>
    <col min="1" max="2" width="12.140625" bestFit="1" customWidth="1"/>
    <col min="5" max="5" width="13.140625" bestFit="1" customWidth="1"/>
    <col min="6" max="7" width="12.140625" bestFit="1" customWidth="1"/>
    <col min="8" max="8" width="11.28515625" bestFit="1" customWidth="1"/>
    <col min="9" max="9" width="13.140625" bestFit="1" customWidth="1"/>
    <col min="10" max="10" width="15.42578125" bestFit="1" customWidth="1"/>
    <col min="11" max="11" width="12.140625" bestFit="1" customWidth="1"/>
    <col min="12" max="12" width="11.28515625" bestFit="1" customWidth="1"/>
    <col min="13" max="13" width="15.42578125" bestFit="1" customWidth="1"/>
    <col min="14" max="14" width="12.140625" bestFit="1" customWidth="1"/>
  </cols>
  <sheetData>
    <row r="2" spans="1:14" ht="15.75" x14ac:dyDescent="0.25">
      <c r="A2" s="29" t="s">
        <v>18</v>
      </c>
      <c r="B2" s="29"/>
      <c r="E2" s="7" t="s">
        <v>19</v>
      </c>
      <c r="F2" s="7"/>
      <c r="I2" s="7" t="s">
        <v>20</v>
      </c>
      <c r="J2" s="7"/>
      <c r="K2" s="7"/>
    </row>
    <row r="3" spans="1:14" x14ac:dyDescent="0.25">
      <c r="A3" t="s">
        <v>14</v>
      </c>
      <c r="E3" s="4" t="s">
        <v>15</v>
      </c>
      <c r="F3" t="s">
        <v>14</v>
      </c>
    </row>
    <row r="4" spans="1:14" x14ac:dyDescent="0.25">
      <c r="A4" s="31">
        <v>8000</v>
      </c>
      <c r="E4" s="5" t="s">
        <v>6</v>
      </c>
      <c r="F4" s="31">
        <v>133000</v>
      </c>
      <c r="I4" s="4" t="s">
        <v>15</v>
      </c>
      <c r="J4" t="s">
        <v>14</v>
      </c>
    </row>
    <row r="5" spans="1:14" x14ac:dyDescent="0.25">
      <c r="E5" s="5" t="s">
        <v>9</v>
      </c>
      <c r="F5" s="31">
        <v>45000</v>
      </c>
      <c r="I5" s="5" t="s">
        <v>6</v>
      </c>
      <c r="J5" s="31">
        <v>133000</v>
      </c>
    </row>
    <row r="6" spans="1:14" x14ac:dyDescent="0.25">
      <c r="E6" s="5" t="s">
        <v>16</v>
      </c>
      <c r="F6" s="31">
        <v>178000</v>
      </c>
      <c r="I6" s="5" t="s">
        <v>9</v>
      </c>
      <c r="J6" s="31">
        <v>45000</v>
      </c>
    </row>
    <row r="7" spans="1:14" x14ac:dyDescent="0.25">
      <c r="I7" s="5" t="s">
        <v>16</v>
      </c>
      <c r="J7" s="31">
        <v>178000</v>
      </c>
    </row>
    <row r="12" spans="1:14" x14ac:dyDescent="0.25">
      <c r="M12" s="30" t="s">
        <v>23</v>
      </c>
      <c r="N12" s="30"/>
    </row>
    <row r="14" spans="1:14" x14ac:dyDescent="0.25">
      <c r="M14" s="8" t="s">
        <v>15</v>
      </c>
      <c r="N14" s="9" t="s">
        <v>14</v>
      </c>
    </row>
    <row r="15" spans="1:14" x14ac:dyDescent="0.25">
      <c r="M15" s="9" t="s">
        <v>6</v>
      </c>
      <c r="N15" s="32">
        <v>133000</v>
      </c>
    </row>
    <row r="16" spans="1:14" x14ac:dyDescent="0.25">
      <c r="M16" s="9" t="s">
        <v>9</v>
      </c>
      <c r="N16" s="32">
        <v>45000</v>
      </c>
    </row>
    <row r="17" spans="1:14" x14ac:dyDescent="0.25">
      <c r="M17" s="9" t="s">
        <v>16</v>
      </c>
      <c r="N17" s="32">
        <v>178000</v>
      </c>
    </row>
    <row r="19" spans="1:14" ht="15.75" x14ac:dyDescent="0.25">
      <c r="A19" s="26" t="s">
        <v>21</v>
      </c>
      <c r="B19" s="27"/>
      <c r="C19" s="28"/>
      <c r="F19" s="30" t="s">
        <v>22</v>
      </c>
      <c r="G19" s="30"/>
      <c r="J19" s="30" t="s">
        <v>24</v>
      </c>
      <c r="K19" s="30"/>
    </row>
    <row r="21" spans="1:14" x14ac:dyDescent="0.25">
      <c r="A21" s="4" t="s">
        <v>15</v>
      </c>
      <c r="B21" t="s">
        <v>14</v>
      </c>
      <c r="F21" s="8" t="s">
        <v>15</v>
      </c>
      <c r="G21" s="9" t="s">
        <v>14</v>
      </c>
      <c r="J21" s="8" t="s">
        <v>15</v>
      </c>
      <c r="K21" s="9" t="s">
        <v>14</v>
      </c>
    </row>
    <row r="22" spans="1:14" x14ac:dyDescent="0.25">
      <c r="A22" s="5" t="s">
        <v>5</v>
      </c>
      <c r="B22" s="31">
        <v>105000</v>
      </c>
      <c r="F22" s="9" t="s">
        <v>7</v>
      </c>
      <c r="G22" s="32">
        <v>155000</v>
      </c>
      <c r="J22" s="10">
        <v>45352</v>
      </c>
      <c r="K22" s="32">
        <v>15000</v>
      </c>
    </row>
    <row r="23" spans="1:14" x14ac:dyDescent="0.25">
      <c r="A23" s="5" t="s">
        <v>8</v>
      </c>
      <c r="B23" s="31">
        <v>15000</v>
      </c>
      <c r="F23" s="9" t="s">
        <v>10</v>
      </c>
      <c r="G23" s="32">
        <v>23000</v>
      </c>
      <c r="J23" s="10" t="s">
        <v>16</v>
      </c>
      <c r="K23" s="32">
        <v>15000</v>
      </c>
    </row>
    <row r="24" spans="1:14" x14ac:dyDescent="0.25">
      <c r="A24" s="5" t="s">
        <v>11</v>
      </c>
      <c r="B24" s="31">
        <v>20000</v>
      </c>
      <c r="F24" s="9" t="s">
        <v>16</v>
      </c>
      <c r="G24" s="32">
        <v>178000</v>
      </c>
    </row>
    <row r="25" spans="1:14" x14ac:dyDescent="0.25">
      <c r="A25" s="5" t="s">
        <v>12</v>
      </c>
      <c r="B25" s="31">
        <v>8000</v>
      </c>
    </row>
    <row r="26" spans="1:14" x14ac:dyDescent="0.25">
      <c r="A26" s="5" t="s">
        <v>13</v>
      </c>
      <c r="B26" s="31">
        <v>30000</v>
      </c>
    </row>
    <row r="27" spans="1:14" x14ac:dyDescent="0.25">
      <c r="A27" s="5" t="s">
        <v>16</v>
      </c>
      <c r="B27" s="31">
        <v>178000</v>
      </c>
    </row>
  </sheetData>
  <mergeCells count="5">
    <mergeCell ref="A19:C19"/>
    <mergeCell ref="A2:B2"/>
    <mergeCell ref="F19:G19"/>
    <mergeCell ref="M12:N12"/>
    <mergeCell ref="J19:K19"/>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4E19-55A1-4DEE-8DB1-85006F59AFE9}">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zoomScaleNormal="100" workbookViewId="0">
      <selection activeCell="F20" sqref="F20"/>
    </sheetView>
  </sheetViews>
  <sheetFormatPr defaultRowHeight="15" x14ac:dyDescent="0.25"/>
  <cols>
    <col min="1" max="1" width="8.7109375" bestFit="1" customWidth="1"/>
    <col min="2" max="2" width="12.28515625" bestFit="1" customWidth="1"/>
    <col min="3" max="3" width="7.42578125" bestFit="1" customWidth="1"/>
    <col min="4" max="4" width="11.42578125" bestFit="1" customWidth="1"/>
    <col min="5" max="5" width="8.42578125" bestFit="1" customWidth="1"/>
    <col min="10" max="10" width="16.42578125" customWidth="1"/>
  </cols>
  <sheetData>
    <row r="1" spans="1:10" ht="19.5" x14ac:dyDescent="0.25">
      <c r="A1" s="3" t="s">
        <v>0</v>
      </c>
      <c r="B1" s="3" t="s">
        <v>1</v>
      </c>
      <c r="C1" s="3" t="s">
        <v>2</v>
      </c>
      <c r="D1" s="3" t="s">
        <v>3</v>
      </c>
      <c r="E1" s="3" t="s">
        <v>4</v>
      </c>
    </row>
    <row r="2" spans="1:10" x14ac:dyDescent="0.25">
      <c r="A2" s="1">
        <v>45292</v>
      </c>
      <c r="B2" s="2" t="s">
        <v>5</v>
      </c>
      <c r="C2" s="2" t="s">
        <v>6</v>
      </c>
      <c r="D2" s="2" t="s">
        <v>7</v>
      </c>
      <c r="E2" s="2">
        <v>50000</v>
      </c>
    </row>
    <row r="3" spans="1:10" x14ac:dyDescent="0.25">
      <c r="A3" s="1">
        <v>45323</v>
      </c>
      <c r="B3" s="2" t="s">
        <v>5</v>
      </c>
      <c r="C3" s="2" t="s">
        <v>6</v>
      </c>
      <c r="D3" s="2" t="s">
        <v>7</v>
      </c>
      <c r="E3" s="2">
        <v>30000</v>
      </c>
    </row>
    <row r="4" spans="1:10" x14ac:dyDescent="0.25">
      <c r="A4" s="1">
        <v>45352</v>
      </c>
      <c r="B4" s="2" t="s">
        <v>8</v>
      </c>
      <c r="C4" s="2" t="s">
        <v>9</v>
      </c>
      <c r="D4" s="2" t="s">
        <v>10</v>
      </c>
      <c r="E4" s="2">
        <v>15000</v>
      </c>
    </row>
    <row r="5" spans="1:10" x14ac:dyDescent="0.25">
      <c r="A5" s="1">
        <v>45383</v>
      </c>
      <c r="B5" s="2" t="s">
        <v>11</v>
      </c>
      <c r="C5" s="2" t="s">
        <v>6</v>
      </c>
      <c r="D5" s="2" t="s">
        <v>7</v>
      </c>
      <c r="E5" s="2">
        <v>20000</v>
      </c>
    </row>
    <row r="6" spans="1:10" x14ac:dyDescent="0.25">
      <c r="A6" s="1">
        <v>45413</v>
      </c>
      <c r="B6" s="2" t="s">
        <v>12</v>
      </c>
      <c r="C6" s="2" t="s">
        <v>6</v>
      </c>
      <c r="D6" s="2" t="s">
        <v>10</v>
      </c>
      <c r="E6" s="2">
        <v>8000</v>
      </c>
    </row>
    <row r="7" spans="1:10" x14ac:dyDescent="0.25">
      <c r="A7" s="1">
        <v>45444</v>
      </c>
      <c r="B7" s="2" t="s">
        <v>5</v>
      </c>
      <c r="C7" s="2" t="s">
        <v>6</v>
      </c>
      <c r="D7" s="2" t="s">
        <v>7</v>
      </c>
      <c r="E7" s="2">
        <v>25000</v>
      </c>
    </row>
    <row r="8" spans="1:10" x14ac:dyDescent="0.25">
      <c r="A8" s="1">
        <v>45474</v>
      </c>
      <c r="B8" s="2" t="s">
        <v>13</v>
      </c>
      <c r="C8" s="2" t="s">
        <v>9</v>
      </c>
      <c r="D8" s="2" t="s">
        <v>7</v>
      </c>
      <c r="E8" s="2">
        <v>30000</v>
      </c>
      <c r="J8" s="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9F1B16F6-C25B-414F-8CA3-66EE2AB76549}">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FEB7B4E7-4CD3-4BB4-B171-638657486B3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Dashbaording</vt:lpstr>
      <vt:lpstr>Sheet5</vt:lpstr>
      <vt:lpstr>Sheet6</vt:lpstr>
      <vt:lpstr>Raw_data_Sheet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fida ulllah</dc:creator>
  <cp:lastModifiedBy>muhammad fida ulllah</cp:lastModifiedBy>
  <cp:lastPrinted>2026-01-01T08:01:53Z</cp:lastPrinted>
  <dcterms:created xsi:type="dcterms:W3CDTF">2015-06-05T18:17:20Z</dcterms:created>
  <dcterms:modified xsi:type="dcterms:W3CDTF">2026-01-03T00:37:14Z</dcterms:modified>
</cp:coreProperties>
</file>